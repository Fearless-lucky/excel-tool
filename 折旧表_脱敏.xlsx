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1" activeTab="1" autoFilterDateGrouping="1"/>
  </bookViews>
  <sheets>
    <sheet xmlns:r="http://schemas.openxmlformats.org/officeDocument/2006/relationships" name="政府会计制度行事账套-固定资产台账" sheetId="1" state="visible" r:id="rId1"/>
    <sheet xmlns:r="http://schemas.openxmlformats.org/officeDocument/2006/relationships" name="政府会计制度行事账套-固定资产台账 (2025)" sheetId="2" state="visible" r:id="rId2"/>
    <sheet xmlns:r="http://schemas.openxmlformats.org/officeDocument/2006/relationships" name="2026.01" sheetId="3" state="visible" r:id="rId3"/>
  </sheets>
  <definedNames>
    <definedName name="_xlnm.Print_Titles" localSheetId="0">'政府会计制度行事账套-固定资产台账'!$1:$1</definedName>
    <definedName name="_xlnm.Print_Titles" localSheetId="1">'政府会计制度行事账套-固定资产台账 (2025)'!$1:$1</definedName>
    <definedName name="_xlnm.Print_Titles" localSheetId="2">'2026.01'!$1:$1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#,##0.00_ "/>
    <numFmt numFmtId="166" formatCode="0_ "/>
    <numFmt numFmtId="167" formatCode="0.00_ "/>
  </numFmts>
  <fonts count="28">
    <font>
      <name val="宋体"/>
      <charset val="134"/>
      <color indexed="8"/>
      <sz val="11"/>
    </font>
    <font>
      <name val="Times New Roman"/>
      <charset val="134"/>
      <color indexed="8"/>
      <sz val="11"/>
    </font>
    <font>
      <name val="宋体"/>
      <charset val="134"/>
      <sz val="10.5"/>
    </font>
    <font>
      <name val="宋体"/>
      <charset val="134"/>
      <color rgb="FF000000"/>
      <sz val="11"/>
    </font>
    <font>
      <name val="SimSun"/>
      <charset val="134"/>
      <sz val="11"/>
    </font>
    <font>
      <name val="Times New Roman"/>
      <charset val="134"/>
      <sz val="10.5"/>
    </font>
    <font>
      <name val="宋体"/>
      <charset val="134"/>
      <color theme="1"/>
      <sz val="12"/>
      <scheme val="minor"/>
    </font>
    <font>
      <name val="Times New Roman"/>
      <charset val="134"/>
      <color rgb="FF000000"/>
      <sz val="11"/>
    </font>
    <font>
      <name val="宋体"/>
      <charset val="134"/>
      <color theme="1"/>
      <sz val="15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4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5" borderId="8" applyAlignment="1">
      <alignment vertical="center"/>
    </xf>
    <xf numFmtId="0" fontId="19" fillId="6" borderId="9" applyAlignment="1">
      <alignment vertical="center"/>
    </xf>
    <xf numFmtId="0" fontId="20" fillId="6" borderId="8" applyAlignment="1">
      <alignment vertical="center"/>
    </xf>
    <xf numFmtId="0" fontId="21" fillId="7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9" fillId="12" borderId="0" applyAlignment="1">
      <alignment vertical="center"/>
    </xf>
    <xf numFmtId="0" fontId="9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9" fillId="16" borderId="0" applyAlignment="1">
      <alignment vertical="center"/>
    </xf>
    <xf numFmtId="0" fontId="9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9" fillId="20" borderId="0" applyAlignment="1">
      <alignment vertical="center"/>
    </xf>
    <xf numFmtId="0" fontId="9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9" fillId="24" borderId="0" applyAlignment="1">
      <alignment vertical="center"/>
    </xf>
    <xf numFmtId="0" fontId="9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9" fillId="28" borderId="0" applyAlignment="1">
      <alignment vertical="center"/>
    </xf>
    <xf numFmtId="0" fontId="9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9" fillId="32" borderId="0" applyAlignment="1">
      <alignment vertical="center"/>
    </xf>
    <xf numFmtId="0" fontId="9" fillId="33" borderId="0" applyAlignment="1">
      <alignment vertical="center"/>
    </xf>
    <xf numFmtId="0" fontId="27" fillId="34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57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distributed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57" fontId="7" fillId="0" borderId="0" applyAlignment="1" pivotButton="0" quotePrefix="0" xfId="0">
      <alignment horizontal="center" vertical="center"/>
    </xf>
    <xf numFmtId="57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1" applyAlignment="1" pivotButton="0" quotePrefix="0" xfId="0">
      <alignment horizontal="distributed" vertical="center"/>
    </xf>
    <xf numFmtId="0" fontId="1" fillId="3" borderId="1" applyAlignment="1" pivotButton="0" quotePrefix="0" xfId="0">
      <alignment vertical="center"/>
    </xf>
    <xf numFmtId="57" fontId="1" fillId="3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164" fontId="1" fillId="2" borderId="1" applyAlignment="1" pivotButton="0" quotePrefix="0" xfId="1">
      <alignment vertical="center"/>
    </xf>
    <xf numFmtId="164" fontId="1" fillId="2" borderId="1" applyAlignment="1" pivotButton="0" quotePrefix="0" xfId="0">
      <alignment vertical="center"/>
    </xf>
    <xf numFmtId="166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165" fontId="1" fillId="2" borderId="1" applyAlignment="1" pivotButton="0" quotePrefix="0" xfId="0">
      <alignment vertical="center"/>
    </xf>
    <xf numFmtId="166" fontId="1" fillId="2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5" fontId="1" fillId="3" borderId="1" applyAlignment="1" pivotButton="0" quotePrefix="0" xfId="0">
      <alignment vertical="center"/>
    </xf>
    <xf numFmtId="164" fontId="1" fillId="3" borderId="1" applyAlignment="1" pivotButton="0" quotePrefix="0" xfId="1">
      <alignment vertical="center"/>
    </xf>
    <xf numFmtId="0" fontId="3" fillId="3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165" fontId="5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vertical="center"/>
    </xf>
    <xf numFmtId="164" fontId="1" fillId="2" borderId="1" applyAlignment="1" pivotButton="0" quotePrefix="0" xfId="1">
      <alignment vertical="center"/>
    </xf>
    <xf numFmtId="164" fontId="1" fillId="2" borderId="1" applyAlignment="1" pivotButton="0" quotePrefix="0" xfId="0">
      <alignment vertical="center"/>
    </xf>
    <xf numFmtId="166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vertical="center"/>
    </xf>
    <xf numFmtId="166" fontId="1" fillId="2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5" fontId="1" fillId="3" borderId="1" applyAlignment="1" pivotButton="0" quotePrefix="0" xfId="0">
      <alignment vertical="center"/>
    </xf>
    <xf numFmtId="164" fontId="1" fillId="3" borderId="1" applyAlignment="1" pivotButton="0" quotePrefix="0" xfId="1">
      <alignment vertical="center"/>
    </xf>
    <xf numFmtId="164" fontId="1" fillId="0" borderId="0" applyAlignment="1" pivotButton="0" quotePrefix="0" xfId="0">
      <alignment vertical="center"/>
    </xf>
    <xf numFmtId="166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5" sqref="A5"/>
    </sheetView>
  </sheetViews>
  <sheetFormatPr baseColWidth="8" defaultColWidth="10" defaultRowHeight="14.25" customHeight="1"/>
  <cols>
    <col width="12.5555555555556" customWidth="1" style="1" min="1" max="1"/>
    <col width="8.66666666666667" customWidth="1" style="1" min="2" max="4"/>
    <col width="10.5555555555556" customWidth="1" style="1" min="5" max="5"/>
    <col width="8.66666666666667" customWidth="1" style="1" min="6" max="6"/>
    <col width="7.33333333333333" customWidth="1" style="1" min="7" max="7"/>
    <col width="12.3333333333333" customWidth="1" style="1" min="8" max="8"/>
    <col width="12.5555555555556" customWidth="1" style="1" min="9" max="9"/>
    <col width="12.3333333333333" customWidth="1" style="1" min="10" max="10"/>
    <col width="8.66666666666667" customWidth="1" style="1" min="11" max="11"/>
    <col width="14.4444444444444" customWidth="1" style="1" min="12" max="12"/>
    <col width="29" customWidth="1" style="1" min="13" max="13"/>
    <col width="16.5555555555556" customWidth="1" style="1" min="14" max="14"/>
    <col width="10.8796296296296" customWidth="1" style="1" min="15" max="15"/>
    <col width="10" customWidth="1" style="1" min="16" max="18"/>
    <col width="16.1111111111111" customWidth="1" style="1" min="19" max="19"/>
    <col width="11.8796296296296" customWidth="1" style="1" min="20" max="21"/>
    <col width="11.3333333333333" customWidth="1" style="25" min="22" max="22"/>
    <col width="10.8796296296296" customWidth="1" style="25" min="23" max="24"/>
    <col width="10" customWidth="1" style="25" min="25" max="26"/>
    <col width="12.75" customWidth="1" style="25" min="27" max="32"/>
    <col width="10" customWidth="1" style="1" min="33" max="33"/>
    <col width="10.8796296296296" customWidth="1" style="1" min="34" max="34"/>
    <col width="10" customWidth="1" style="1" min="35" max="16384"/>
  </cols>
  <sheetData>
    <row r="1" ht="15" customHeight="1" s="48">
      <c r="A1" s="26" t="inlineStr">
        <is>
          <t>固定资产类别</t>
        </is>
      </c>
      <c r="B1" s="26" t="inlineStr">
        <is>
          <t>变动方式</t>
        </is>
      </c>
      <c r="C1" s="26" t="inlineStr">
        <is>
          <t>财产编号</t>
        </is>
      </c>
      <c r="D1" s="26" t="inlineStr">
        <is>
          <t>品牌规格</t>
        </is>
      </c>
      <c r="E1" s="26" t="inlineStr">
        <is>
          <t>购买日期</t>
        </is>
      </c>
      <c r="F1" s="26" t="inlineStr">
        <is>
          <t>计量单位</t>
        </is>
      </c>
      <c r="G1" s="26" t="inlineStr">
        <is>
          <t>数量</t>
        </is>
      </c>
      <c r="H1" s="26" t="inlineStr">
        <is>
          <t>原值</t>
        </is>
      </c>
      <c r="I1" s="26" t="inlineStr">
        <is>
          <t>累计折旧金额</t>
        </is>
      </c>
      <c r="J1" s="26" t="inlineStr">
        <is>
          <t>净值</t>
        </is>
      </c>
      <c r="K1" s="26" t="inlineStr">
        <is>
          <t>保存地点</t>
        </is>
      </c>
      <c r="L1" s="26" t="inlineStr">
        <is>
          <t>使用部门及个人</t>
        </is>
      </c>
      <c r="M1" s="26" t="inlineStr">
        <is>
          <t>摘要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27" t="n"/>
      <c r="W1" s="28" t="n">
        <v>44805</v>
      </c>
      <c r="X1" s="28" t="n">
        <v>44805</v>
      </c>
      <c r="Y1" s="27" t="n"/>
      <c r="Z1" s="27" t="n"/>
      <c r="AA1" s="29" t="inlineStr">
        <is>
          <t>2022年10-12月</t>
        </is>
      </c>
      <c r="AB1" s="49" t="n"/>
      <c r="AC1" s="29" t="inlineStr">
        <is>
          <t>2023年</t>
        </is>
      </c>
      <c r="AD1" s="49" t="n"/>
      <c r="AE1" s="29" t="inlineStr">
        <is>
          <t>2024年</t>
        </is>
      </c>
      <c r="AF1" s="49" t="n"/>
      <c r="AG1" s="20" t="inlineStr">
        <is>
          <t>20251-6月</t>
        </is>
      </c>
      <c r="AH1" s="49" t="n"/>
    </row>
    <row r="2" ht="15" customHeight="1" s="48">
      <c r="A2" s="30" t="inlineStr">
        <is>
          <t>合计</t>
        </is>
      </c>
      <c r="B2" s="3" t="n"/>
      <c r="C2" s="3" t="n"/>
      <c r="D2" s="3" t="n"/>
      <c r="E2" s="3" t="n"/>
      <c r="F2" s="3" t="n"/>
      <c r="G2" s="50" t="n">
        <v>71</v>
      </c>
      <c r="H2" s="50" t="n">
        <v>338870.67</v>
      </c>
      <c r="I2" s="50" t="n"/>
      <c r="J2" s="50" t="n">
        <v>338870.67</v>
      </c>
      <c r="K2" s="3" t="n"/>
      <c r="L2" s="3" t="n"/>
      <c r="M2" s="3" t="n"/>
      <c r="N2" s="3" t="n"/>
      <c r="O2" s="3" t="n"/>
      <c r="P2" s="3" t="n"/>
      <c r="Q2" s="7" t="inlineStr">
        <is>
          <t>使用年限</t>
        </is>
      </c>
      <c r="R2" s="51" t="inlineStr">
        <is>
          <t>月均折旧</t>
        </is>
      </c>
      <c r="S2" s="9" t="inlineStr">
        <is>
          <t>本期计提的折旧</t>
        </is>
      </c>
      <c r="T2" s="9" t="inlineStr">
        <is>
          <t>期初预计</t>
        </is>
      </c>
      <c r="U2" s="3" t="inlineStr">
        <is>
          <t>距离2020年12月</t>
        </is>
      </c>
      <c r="V2" s="32" t="inlineStr">
        <is>
          <t>原值</t>
        </is>
      </c>
      <c r="W2" s="32" t="inlineStr">
        <is>
          <t>折旧</t>
        </is>
      </c>
      <c r="X2" s="32" t="inlineStr">
        <is>
          <t>净值</t>
        </is>
      </c>
      <c r="Y2" s="32" t="inlineStr">
        <is>
          <t>折旧年限</t>
        </is>
      </c>
      <c r="Z2" s="32" t="inlineStr">
        <is>
          <t>月折旧额</t>
        </is>
      </c>
      <c r="AA2" s="32" t="inlineStr">
        <is>
          <t>折旧额</t>
        </is>
      </c>
      <c r="AB2" s="32" t="inlineStr">
        <is>
          <t>净值</t>
        </is>
      </c>
      <c r="AC2" s="32" t="inlineStr">
        <is>
          <t>折旧额</t>
        </is>
      </c>
      <c r="AD2" s="32" t="inlineStr">
        <is>
          <t>净值</t>
        </is>
      </c>
      <c r="AE2" s="32" t="inlineStr">
        <is>
          <t>折旧额</t>
        </is>
      </c>
      <c r="AF2" s="32" t="inlineStr">
        <is>
          <t>净值</t>
        </is>
      </c>
      <c r="AG2" s="32" t="inlineStr">
        <is>
          <t>折旧额</t>
        </is>
      </c>
      <c r="AH2" s="32" t="inlineStr">
        <is>
          <t>净值</t>
        </is>
      </c>
    </row>
    <row r="3" ht="15" customFormat="1" customHeight="1" s="24">
      <c r="A3" s="33" t="inlineStr">
        <is>
          <t>房屋及构筑物</t>
        </is>
      </c>
      <c r="B3" s="33" t="inlineStr">
        <is>
          <t>自购</t>
        </is>
      </c>
      <c r="C3" s="34" t="inlineStr">
        <is>
          <t>0001</t>
        </is>
      </c>
      <c r="D3" s="34" t="n"/>
      <c r="E3" s="34" t="inlineStr">
        <is>
          <t>1988-01-01</t>
        </is>
      </c>
      <c r="F3" s="33" t="inlineStr">
        <is>
          <t>层</t>
        </is>
      </c>
      <c r="G3" s="52" t="n">
        <v>1</v>
      </c>
      <c r="H3" s="52" t="n">
        <v>38539.32</v>
      </c>
      <c r="I3" s="52" t="n"/>
      <c r="J3" s="52" t="n">
        <v>38539.32</v>
      </c>
      <c r="K3" s="33" t="inlineStr">
        <is>
          <t>XX社区</t>
        </is>
      </c>
      <c r="L3" s="33" t="inlineStr">
        <is>
          <t>XX社区</t>
        </is>
      </c>
      <c r="M3" s="33" t="inlineStr">
        <is>
          <t>XX办公室</t>
        </is>
      </c>
      <c r="N3" s="36" t="inlineStr">
        <is>
          <t>1988年</t>
        </is>
      </c>
      <c r="O3" s="53" t="n">
        <v>38539.32</v>
      </c>
      <c r="P3" s="54">
        <f>+H3-O3</f>
        <v/>
      </c>
      <c r="Q3" s="55" t="n">
        <v>50</v>
      </c>
      <c r="R3" s="56">
        <f>ROUND(O3/Q3/12,2)</f>
        <v/>
      </c>
      <c r="S3" s="53" t="n"/>
      <c r="T3" s="53">
        <f>+R3*(33*12-5)</f>
        <v/>
      </c>
      <c r="U3" s="41" t="inlineStr">
        <is>
          <t>32年</t>
        </is>
      </c>
      <c r="V3" s="57">
        <f>+J3</f>
        <v/>
      </c>
      <c r="W3" s="54">
        <f>+S3+T3</f>
        <v/>
      </c>
      <c r="X3" s="54">
        <f>+V3-W3</f>
        <v/>
      </c>
      <c r="Y3" s="58">
        <f>+Q3</f>
        <v/>
      </c>
      <c r="Z3" s="53">
        <f>+ROUND(V3/Y3/12,2)</f>
        <v/>
      </c>
      <c r="AA3" s="53">
        <f>Z3*3</f>
        <v/>
      </c>
      <c r="AB3" s="53">
        <f>X3-AA3</f>
        <v/>
      </c>
      <c r="AC3" s="53">
        <f>Z3*12</f>
        <v/>
      </c>
      <c r="AD3" s="53">
        <f>AB3-AC3</f>
        <v/>
      </c>
      <c r="AE3" s="53">
        <f>Z3*12</f>
        <v/>
      </c>
      <c r="AF3" s="53">
        <f>AD3-AE3</f>
        <v/>
      </c>
      <c r="AG3" s="54">
        <f>Z3*6</f>
        <v/>
      </c>
      <c r="AH3" s="54">
        <f>AF3-AG3</f>
        <v/>
      </c>
    </row>
    <row r="4" ht="15" customFormat="1" customHeight="1" s="24">
      <c r="A4" s="6" t="inlineStr">
        <is>
          <t>合计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59">
        <f>+#REF!-T3-#REF!</f>
        <v/>
      </c>
      <c r="U4" s="3" t="n"/>
      <c r="V4" s="60">
        <f>SUM(V3:V3)</f>
        <v/>
      </c>
      <c r="W4" s="60">
        <f>SUM(W3:W3)</f>
        <v/>
      </c>
      <c r="X4" s="60">
        <f>SUM(X3:X3)</f>
        <v/>
      </c>
      <c r="Y4" s="27" t="n"/>
      <c r="Z4" s="27" t="n"/>
      <c r="AA4" s="61">
        <f>SUM(AA3:AA3)</f>
        <v/>
      </c>
      <c r="AB4" s="61">
        <f>SUM(AB3:AB3)</f>
        <v/>
      </c>
      <c r="AC4" s="61">
        <f>SUM(AC3:AC3)</f>
        <v/>
      </c>
      <c r="AD4" s="61">
        <f>SUM(AD3:AD3)</f>
        <v/>
      </c>
      <c r="AE4" s="61">
        <f>SUM(AE3:AE3)</f>
        <v/>
      </c>
      <c r="AF4" s="61">
        <f>SUM(AF3:AF3)</f>
        <v/>
      </c>
      <c r="AG4" s="61">
        <f>SUM(AG3:AG3)</f>
        <v/>
      </c>
      <c r="AH4" s="61">
        <f>SUM(AH3:AH3)</f>
        <v/>
      </c>
    </row>
    <row r="5" ht="15" customHeight="1" s="48">
      <c r="R5" s="62" t="n"/>
      <c r="T5" s="62" t="n"/>
    </row>
    <row r="6" ht="15" customHeight="1" s="48"/>
    <row r="7" ht="15" customHeight="1" s="48"/>
    <row r="8" ht="15" customHeight="1" s="48"/>
    <row r="9" ht="15" customHeight="1" s="48"/>
    <row r="10" ht="15" customHeight="1" s="48"/>
    <row r="11" ht="15" customHeight="1" s="48">
      <c r="AA11" s="47" t="n"/>
      <c r="AB11" s="47" t="n"/>
    </row>
    <row r="12" ht="15" customHeight="1" s="48"/>
    <row r="13" ht="15" customHeight="1" s="48"/>
    <row r="14" ht="15" customHeight="1" s="48"/>
    <row r="15" ht="15" customHeight="1" s="48"/>
    <row r="16" ht="15" customHeight="1" s="48"/>
    <row r="17" ht="15" customHeight="1" s="48"/>
    <row r="18" ht="15" customHeight="1" s="48"/>
    <row r="19" ht="15" customHeight="1" s="48"/>
    <row r="20" ht="15" customHeight="1" s="48"/>
    <row r="21" ht="15" customHeight="1" s="48"/>
    <row r="22" ht="15" customHeight="1" s="48"/>
    <row r="23" ht="15" customHeight="1" s="48"/>
    <row r="24" ht="15" customHeight="1" s="48"/>
    <row r="25" ht="15" customHeight="1" s="48"/>
    <row r="26" ht="15" customHeight="1" s="48"/>
    <row r="27" ht="15" customHeight="1" s="48"/>
    <row r="28" ht="15" customHeight="1" s="48"/>
    <row r="29" ht="15" customHeight="1" s="48"/>
    <row r="30" ht="15" customHeight="1" s="48"/>
    <row r="31" ht="15" customHeight="1" s="48"/>
    <row r="32" ht="15" customHeight="1" s="48"/>
    <row r="33" hidden="1" s="48"/>
    <row r="34" hidden="1" s="48"/>
    <row r="35" hidden="1" s="48"/>
    <row r="36" hidden="1" s="48"/>
    <row r="37" hidden="1" s="48"/>
  </sheetData>
  <mergeCells count="4">
    <mergeCell ref="AC1:AD1"/>
    <mergeCell ref="AA1:AB1"/>
    <mergeCell ref="AE1:AF1"/>
    <mergeCell ref="AG1:AH1"/>
  </mergeCells>
  <pageMargins left="0.787402" right="0.393701" top="0.984252" bottom="0.787402" header="0.393701" footer="0.511811"/>
  <headerFooter>
    <oddHeader>&amp;L&amp;12 _x000a__x000a__x000a_会计科目：&amp;[标题1]&amp;C&amp;19 &amp;[年]&amp;[月]政府会计制度行事账套-固定资产台账</oddHeader>
    <oddFooter>&amp;C&amp;9 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"/>
  <sheetViews>
    <sheetView tabSelected="1" workbookViewId="0">
      <pane xSplit="1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N13" sqref="N13"/>
    </sheetView>
  </sheetViews>
  <sheetFormatPr baseColWidth="8" defaultColWidth="10" defaultRowHeight="14.25" customHeight="1"/>
  <cols>
    <col width="12.5555555555556" customWidth="1" style="1" min="1" max="1"/>
    <col width="8.66666666666667" customWidth="1" style="1" min="2" max="4"/>
    <col width="7.33333333333333" customWidth="1" style="1" min="5" max="5"/>
    <col width="12.3333333333333" customWidth="1" style="1" min="6" max="7"/>
    <col width="8.66666666666667" customWidth="1" style="1" min="8" max="8"/>
    <col width="14.4444444444444" customWidth="1" style="1" min="9" max="9"/>
    <col width="29" customWidth="1" style="1" min="10" max="10"/>
    <col width="16.5555555555556" customWidth="1" style="1" min="11" max="11"/>
    <col width="10" customWidth="1" style="1" min="12" max="15"/>
    <col width="10" customWidth="1" style="1" min="16" max="17"/>
    <col width="12.8148148148148" customWidth="1" style="1" min="18" max="18"/>
    <col width="10" customWidth="1" style="1" min="19" max="16363"/>
    <col width="10" customWidth="1" style="2" min="16364" max="16384"/>
  </cols>
  <sheetData>
    <row r="1" ht="15" customHeight="1" s="48">
      <c r="L1" s="3" t="n"/>
      <c r="M1" s="3" t="n"/>
      <c r="N1" s="21" t="inlineStr">
        <is>
          <t>20251-6月</t>
        </is>
      </c>
      <c r="O1" s="49" t="n"/>
      <c r="P1" s="20" t="inlineStr">
        <is>
          <t>2025年7月-12月</t>
        </is>
      </c>
      <c r="Q1" s="49" t="n"/>
      <c r="R1" s="22" t="inlineStr">
        <is>
          <t>2026年2-3月</t>
        </is>
      </c>
    </row>
    <row r="2" ht="15" customHeight="1" s="48">
      <c r="A2" s="26" t="inlineStr">
        <is>
          <t>固定资产类别</t>
        </is>
      </c>
      <c r="B2" s="26" t="inlineStr">
        <is>
          <t>变动方式</t>
        </is>
      </c>
      <c r="C2" s="26" t="inlineStr">
        <is>
          <t>财产编号</t>
        </is>
      </c>
      <c r="D2" s="26" t="inlineStr">
        <is>
          <t>计量单位</t>
        </is>
      </c>
      <c r="E2" s="26" t="inlineStr">
        <is>
          <t>数量</t>
        </is>
      </c>
      <c r="F2" s="26" t="inlineStr">
        <is>
          <t>原值</t>
        </is>
      </c>
      <c r="G2" s="26" t="inlineStr">
        <is>
          <t>净值</t>
        </is>
      </c>
      <c r="H2" s="26" t="inlineStr">
        <is>
          <t>保存地点</t>
        </is>
      </c>
      <c r="I2" s="26" t="inlineStr">
        <is>
          <t>使用部门及个人</t>
        </is>
      </c>
      <c r="J2" s="26" t="inlineStr">
        <is>
          <t>摘要</t>
        </is>
      </c>
      <c r="K2" s="6" t="inlineStr">
        <is>
          <t>购买日期</t>
        </is>
      </c>
      <c r="L2" s="7" t="inlineStr">
        <is>
          <t>使用年限</t>
        </is>
      </c>
      <c r="M2" s="51" t="inlineStr">
        <is>
          <t>月均折旧</t>
        </is>
      </c>
      <c r="N2" s="51" t="inlineStr">
        <is>
          <t>折旧额</t>
        </is>
      </c>
      <c r="O2" s="51" t="inlineStr">
        <is>
          <t>净值</t>
        </is>
      </c>
      <c r="P2" s="9" t="inlineStr">
        <is>
          <t>折旧额</t>
        </is>
      </c>
      <c r="Q2" s="9" t="inlineStr">
        <is>
          <t>净值</t>
        </is>
      </c>
      <c r="R2" s="9" t="inlineStr">
        <is>
          <t>折旧额</t>
        </is>
      </c>
      <c r="S2" s="9" t="inlineStr">
        <is>
          <t>净值</t>
        </is>
      </c>
    </row>
    <row r="3" ht="15" customFormat="1" customHeight="1" s="1">
      <c r="A3" s="30" t="inlineStr">
        <is>
          <t>房屋及构筑物</t>
        </is>
      </c>
      <c r="B3" s="30" t="inlineStr">
        <is>
          <t>自购</t>
        </is>
      </c>
      <c r="C3" s="11" t="inlineStr">
        <is>
          <t>0001</t>
        </is>
      </c>
      <c r="D3" s="30" t="inlineStr">
        <is>
          <t>层</t>
        </is>
      </c>
      <c r="E3" s="50" t="n">
        <v>1</v>
      </c>
      <c r="F3" s="50" t="n">
        <v>38539.32</v>
      </c>
      <c r="G3" s="50" t="n">
        <v>38539.32</v>
      </c>
      <c r="H3" s="30" t="inlineStr">
        <is>
          <t>XX社区</t>
        </is>
      </c>
      <c r="I3" s="30" t="inlineStr">
        <is>
          <t>XX社区</t>
        </is>
      </c>
      <c r="J3" s="30" t="inlineStr">
        <is>
          <t>XX办公室</t>
        </is>
      </c>
      <c r="K3" s="13" t="inlineStr">
        <is>
          <t>1988年</t>
        </is>
      </c>
      <c r="L3" s="63" t="n">
        <v>50</v>
      </c>
      <c r="M3" s="64" t="n">
        <v>64.23</v>
      </c>
      <c r="N3" s="64" t="n">
        <v>385.38</v>
      </c>
      <c r="O3" s="64" t="n">
        <v>11305.8</v>
      </c>
      <c r="P3" s="3" t="n">
        <v>385.38</v>
      </c>
      <c r="Q3" s="3" t="n">
        <v>10920.42</v>
      </c>
      <c r="R3" s="65">
        <f>M3*2</f>
        <v/>
      </c>
      <c r="S3" s="65">
        <f>Q3-R3</f>
        <v/>
      </c>
    </row>
    <row r="4" ht="15" customFormat="1" customHeight="1" s="1">
      <c r="A4" s="6" t="inlineStr">
        <is>
          <t>合计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>
        <f>SUM(N3:N3)</f>
        <v/>
      </c>
      <c r="O4" s="3">
        <f>SUM(O3:O3)</f>
        <v/>
      </c>
      <c r="P4" s="3" t="n">
        <v>6185.34</v>
      </c>
      <c r="Q4" s="3" t="n">
        <v>69029.94</v>
      </c>
      <c r="R4" s="65">
        <f>SUM(R3:R3)</f>
        <v/>
      </c>
      <c r="S4" s="65">
        <f>SUM(S3:S3)</f>
        <v/>
      </c>
    </row>
    <row r="5" ht="15" customHeight="1" s="48">
      <c r="M5" s="62" t="n"/>
      <c r="N5" s="62" t="n"/>
      <c r="O5" s="62" t="n"/>
    </row>
    <row r="6" ht="15" customHeight="1" s="48"/>
    <row r="7" ht="15" customHeight="1" s="48"/>
    <row r="8" ht="15" customHeight="1" s="48"/>
    <row r="9" ht="15" customHeight="1" s="48"/>
    <row r="10" ht="15" customHeight="1" s="48"/>
    <row r="11" ht="15" customHeight="1" s="48"/>
    <row r="12" ht="15" customHeight="1" s="48"/>
    <row r="13" ht="15" customHeight="1" s="48"/>
    <row r="14" ht="15" customHeight="1" s="48"/>
    <row r="15" ht="15" customHeight="1" s="48"/>
    <row r="16" ht="15" customHeight="1" s="48"/>
    <row r="17" ht="15" customHeight="1" s="48"/>
    <row r="18" ht="15" customHeight="1" s="48"/>
    <row r="19" ht="15" customHeight="1" s="48"/>
    <row r="20" ht="15" customHeight="1" s="48"/>
    <row r="21" ht="15" customHeight="1" s="48"/>
    <row r="22" ht="15" customHeight="1" s="48"/>
    <row r="23" ht="15" customHeight="1" s="48"/>
    <row r="24" ht="15" customHeight="1" s="48"/>
    <row r="25" ht="15" customHeight="1" s="48"/>
    <row r="26" ht="15" customHeight="1" s="48"/>
    <row r="27" ht="15" customHeight="1" s="48"/>
    <row r="28" ht="15" customHeight="1" s="48"/>
    <row r="29" ht="15" customHeight="1" s="48"/>
    <row r="30" ht="15" customHeight="1" s="48"/>
    <row r="31" ht="15" customHeight="1" s="48"/>
    <row r="32" ht="15" customHeight="1" s="48"/>
  </sheetData>
  <mergeCells count="3">
    <mergeCell ref="P1:Q1"/>
    <mergeCell ref="N1:O1"/>
    <mergeCell ref="R1:S1"/>
  </mergeCells>
  <pageMargins left="0.786805555555556" right="0.393055555555556" top="0.9840277777777779" bottom="0.786805555555556" header="0.393055555555556" footer="0.511805555555556"/>
  <pageSetup orientation="landscape" paperSize="9" scale="53" horizontalDpi="600"/>
  <headerFooter>
    <oddHeader>&amp;C&amp;18 沙堆镇社区固定资产明细</oddHeader>
    <oddFooter>&amp;C&amp;9 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E6" sqref="E6"/>
    </sheetView>
  </sheetViews>
  <sheetFormatPr baseColWidth="8" defaultColWidth="10" defaultRowHeight="14.25" customHeight="1"/>
  <cols>
    <col width="12.5555555555556" customWidth="1" style="1" min="1" max="1"/>
    <col width="8.66666666666667" customWidth="1" style="1" min="2" max="4"/>
    <col width="7.33333333333333" customWidth="1" style="1" min="5" max="5"/>
    <col width="12.3333333333333" customWidth="1" style="1" min="6" max="7"/>
    <col width="8.66666666666667" customWidth="1" style="1" min="8" max="8"/>
    <col width="14.4444444444444" customWidth="1" style="1" min="9" max="9"/>
    <col width="29" customWidth="1" style="1" min="10" max="10"/>
    <col width="16.5555555555556" customWidth="1" style="1" min="11" max="11"/>
    <col width="10" customWidth="1" style="1" min="12" max="13"/>
    <col width="12.8148148148148" customWidth="1" style="1" min="14" max="15"/>
    <col width="10" customWidth="1" style="1" min="16" max="16361"/>
    <col width="10" customWidth="1" style="2" min="16362" max="16384"/>
  </cols>
  <sheetData>
    <row r="1" ht="15" customHeight="1" s="48">
      <c r="L1" s="3" t="n"/>
      <c r="M1" s="3" t="n"/>
      <c r="N1" s="4" t="n">
        <v>46023</v>
      </c>
    </row>
    <row r="2" ht="15" customHeight="1" s="48">
      <c r="A2" s="26" t="inlineStr">
        <is>
          <t>固定资产类别</t>
        </is>
      </c>
      <c r="B2" s="26" t="inlineStr">
        <is>
          <t>变动方式</t>
        </is>
      </c>
      <c r="C2" s="26" t="inlineStr">
        <is>
          <t>财产编号</t>
        </is>
      </c>
      <c r="D2" s="26" t="inlineStr">
        <is>
          <t>计量单位</t>
        </is>
      </c>
      <c r="E2" s="26" t="inlineStr">
        <is>
          <t>数量</t>
        </is>
      </c>
      <c r="F2" s="26" t="inlineStr">
        <is>
          <t>原值</t>
        </is>
      </c>
      <c r="G2" s="26" t="inlineStr">
        <is>
          <t>净值</t>
        </is>
      </c>
      <c r="H2" s="26" t="inlineStr">
        <is>
          <t>保存地点</t>
        </is>
      </c>
      <c r="I2" s="26" t="inlineStr">
        <is>
          <t>使用部门及个人</t>
        </is>
      </c>
      <c r="J2" s="26" t="inlineStr">
        <is>
          <t>摘要</t>
        </is>
      </c>
      <c r="K2" s="6" t="inlineStr">
        <is>
          <t>购买日期</t>
        </is>
      </c>
      <c r="L2" s="7" t="inlineStr">
        <is>
          <t>使用年限</t>
        </is>
      </c>
      <c r="M2" s="51" t="inlineStr">
        <is>
          <t>月均折旧</t>
        </is>
      </c>
      <c r="N2" s="9" t="inlineStr">
        <is>
          <t>折旧额</t>
        </is>
      </c>
      <c r="O2" s="9" t="inlineStr">
        <is>
          <t>净值</t>
        </is>
      </c>
    </row>
    <row r="3" ht="15" customFormat="1" customHeight="1" s="1">
      <c r="A3" s="30" t="inlineStr">
        <is>
          <t>房屋及构筑物</t>
        </is>
      </c>
      <c r="B3" s="30" t="inlineStr">
        <is>
          <t>自购</t>
        </is>
      </c>
      <c r="C3" s="11" t="inlineStr">
        <is>
          <t>0001</t>
        </is>
      </c>
      <c r="D3" s="30" t="inlineStr">
        <is>
          <t>层</t>
        </is>
      </c>
      <c r="E3" s="50" t="n">
        <v>1</v>
      </c>
      <c r="F3" s="50" t="n">
        <v>38539.32</v>
      </c>
      <c r="G3" s="50" t="n">
        <v>38539.32</v>
      </c>
      <c r="H3" s="30" t="inlineStr">
        <is>
          <t>XX社区</t>
        </is>
      </c>
      <c r="I3" s="30" t="inlineStr">
        <is>
          <t>XX社区</t>
        </is>
      </c>
      <c r="J3" s="30" t="inlineStr">
        <is>
          <t>XX办公室</t>
        </is>
      </c>
      <c r="K3" s="13" t="inlineStr">
        <is>
          <t>1988年</t>
        </is>
      </c>
      <c r="L3" s="63" t="n">
        <v>50</v>
      </c>
      <c r="M3" s="64" t="n">
        <v>64.23</v>
      </c>
      <c r="N3" s="3" t="n">
        <v>64.23</v>
      </c>
      <c r="O3" s="3" t="n">
        <v>10856.19</v>
      </c>
    </row>
    <row r="4" ht="15" customFormat="1" customHeight="1" s="1">
      <c r="A4" s="6" t="inlineStr">
        <is>
          <t>合计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65">
        <f>SUM(N3:N3)</f>
        <v/>
      </c>
      <c r="O4" s="65">
        <f>SUM(O3:O3)</f>
        <v/>
      </c>
    </row>
    <row r="5" ht="15" customHeight="1" s="48">
      <c r="M5" s="62" t="n"/>
    </row>
    <row r="6" ht="15" customHeight="1" s="48"/>
    <row r="7" ht="15" customHeight="1" s="48"/>
    <row r="8" ht="15" customHeight="1" s="48"/>
    <row r="9" ht="15" customHeight="1" s="48"/>
    <row r="10" ht="15" customHeight="1" s="48"/>
    <row r="11" ht="15" customHeight="1" s="48"/>
    <row r="12" ht="15" customHeight="1" s="48"/>
    <row r="13" ht="15" customHeight="1" s="48"/>
    <row r="14" ht="15" customHeight="1" s="48"/>
    <row r="15" ht="15" customHeight="1" s="48"/>
    <row r="16" ht="15" customHeight="1" s="48"/>
    <row r="17" ht="15" customHeight="1" s="48"/>
    <row r="18" ht="15" customHeight="1" s="48"/>
    <row r="19" ht="15" customHeight="1" s="48"/>
    <row r="20" ht="15" customHeight="1" s="48"/>
    <row r="21" ht="15" customHeight="1" s="48"/>
    <row r="22" ht="15" customHeight="1" s="48"/>
    <row r="23" ht="15" customHeight="1" s="48"/>
    <row r="24" ht="15" customHeight="1" s="48"/>
    <row r="25" ht="15" customHeight="1" s="48"/>
    <row r="26" ht="15" customHeight="1" s="48"/>
    <row r="27" ht="15" customHeight="1" s="48"/>
    <row r="28" ht="15" customHeight="1" s="48"/>
    <row r="29" ht="15" customHeight="1" s="48"/>
    <row r="30" ht="15" customHeight="1" s="48"/>
    <row r="31" ht="15" customHeight="1" s="48"/>
    <row r="32" ht="15" customHeight="1" s="48"/>
  </sheetData>
  <pageMargins left="0.786805555555556" right="0.393055555555556" top="0.9840277777777779" bottom="0.786805555555556" header="0.393055555555556" footer="0.511805555555556"/>
  <pageSetup orientation="landscape" paperSize="9" scale="53" horizontalDpi="600"/>
  <headerFooter>
    <oddHeader>&amp;C&amp;18 沙堆镇社区固定资产明细</oddHeader>
    <oddFooter>&amp;C&amp;9 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2025-08-01T01:43:00Z</dcterms:created>
  <dcterms:modified xmlns:dcterms="http://purl.org/dc/terms/" xmlns:xsi="http://www.w3.org/2001/XMLSchema-instance" xsi:type="dcterms:W3CDTF">2026-07-23T06:34:09Z</dcterms:modified>
  <cp:lastModifiedBy>王子杰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2052-12.1.0.26884</vt:lpwstr>
  </property>
  <property name="KSOReadingLayout" fmtid="{D5CDD505-2E9C-101B-9397-08002B2CF9AE}" pid="3">
    <vt:bool xmlns:vt="http://schemas.openxmlformats.org/officeDocument/2006/docPropsVTypes">1</vt:bool>
  </property>
  <property name="ICV" fmtid="{D5CDD505-2E9C-101B-9397-08002B2CF9AE}" pid="4">
    <vt:lpwstr xmlns:vt="http://schemas.openxmlformats.org/officeDocument/2006/docPropsVTypes">9FA1281E326F4E1F86C21E75AC0F70D9_13</vt:lpwstr>
  </property>
  <property name="CalculationRule" fmtid="{D5CDD505-2E9C-101B-9397-08002B2CF9AE}" pid="5">
    <vt:i4 xmlns:vt="http://schemas.openxmlformats.org/officeDocument/2006/docPropsVTypes">0</vt:i4>
  </property>
</Properties>
</file>